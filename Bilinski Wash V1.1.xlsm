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B5F43188-6A44-4CFC-B9BB-74404966FEB7}"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3" i="1" l="1"/>
  <c r="I12" i="1"/>
  <c r="I11" i="1"/>
  <c r="E4" i="1" l="1"/>
  <c r="C8" i="7"/>
  <c r="C6" i="7"/>
  <c r="B6" i="7"/>
  <c r="C4" i="7"/>
  <c r="B4" i="7"/>
  <c r="C2" i="7"/>
  <c r="B2" i="7"/>
  <c r="A2" i="7"/>
  <c r="F13" i="1" l="1"/>
  <c r="F12" i="1"/>
  <c r="F11" i="1"/>
  <c r="L15" i="1" l="1"/>
  <c r="K32" i="1" l="1"/>
  <c r="K31" i="1"/>
  <c r="K30" i="1"/>
  <c r="N28" i="1"/>
  <c r="H13" i="1"/>
  <c r="H12" i="1"/>
  <c r="H11" i="1"/>
  <c r="H8" i="1"/>
  <c r="H7" i="1"/>
  <c r="D4" i="1"/>
</calcChain>
</file>

<file path=xl/sharedStrings.xml><?xml version="1.0" encoding="utf-8"?>
<sst xmlns="http://schemas.openxmlformats.org/spreadsheetml/2006/main" count="134" uniqueCount="103">
  <si>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</si>
  <si>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</si>
  <si>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</si>
  <si>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</si>
  <si>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</si>
  <si>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</si>
  <si>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</si>
  <si>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</si>
  <si>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</si>
  <si>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</si>
  <si>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</si>
  <si>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</si>
  <si>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</si>
  <si>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</si>
  <si>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</si>
  <si>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</si>
  <si>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</si>
  <si>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</si>
  <si>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</si>
  <si>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</si>
  <si>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</si>
  <si>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</si>
  <si>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</si>
  <si>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</si>
  <si>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</si>
  <si>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</si>
  <si>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</si>
  <si>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</si>
  <si>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</si>
  <si>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</si>
  <si>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</si>
  <si>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</si>
  <si>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</si>
  <si>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</si>
  <si>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</si>
  <si>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</si>
  <si>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</si>
  <si>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</si>
  <si>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</si>
  <si>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</si>
  <si>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</si>
  <si>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</si>
  <si>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BUSINESS_CLOSED</t>
  </si>
  <si>
    <t>Anomaly Routes</t>
  </si>
  <si>
    <t>(blank)</t>
  </si>
  <si>
    <t>ITEMS_MISSING</t>
  </si>
  <si>
    <t>UNABLE_TO_ACCESS</t>
  </si>
  <si>
    <t>FIRST_ATTEMPT</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</si>
  <si>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</si>
  <si>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</si>
  <si>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</si>
  <si>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</si>
  <si>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</si>
  <si>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</si>
  <si>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UNABLE_TO_LOCATE_ADDRESS</t>
  </si>
  <si>
    <t>https://logistics.amazon.com/station/dashboard/problemsolve</t>
  </si>
  <si>
    <t>Repack tracker found DBO6 📕 PFSD/RTS 🔙 Operations (1200-0000)</t>
  </si>
  <si>
    <t>Blinski Wash</t>
  </si>
  <si>
    <t>n</t>
  </si>
  <si>
    <t>SECOND_ATTEMPT</t>
  </si>
  <si>
    <t>NO_SECURE_LOCATION</t>
  </si>
  <si>
    <t>Received</t>
  </si>
  <si>
    <t>Delivery Failed</t>
  </si>
  <si>
    <t>Marked For Reprocess</t>
  </si>
  <si>
    <t>SVLC</t>
  </si>
  <si>
    <t>CMCI</t>
  </si>
  <si>
    <t>ENDZ</t>
  </si>
  <si>
    <t>COLE</t>
  </si>
  <si>
    <t>SOOT</t>
  </si>
  <si>
    <t>FLEX</t>
  </si>
  <si>
    <t>Todays Volume</t>
  </si>
  <si>
    <t>CUSTOMER_REQUEST</t>
  </si>
  <si>
    <t>OTHER</t>
  </si>
  <si>
    <t>Marked As Missing</t>
  </si>
  <si>
    <t>In Transit (DS -&gt; FC)</t>
  </si>
  <si>
    <t>CX40</t>
  </si>
  <si>
    <t>CX81</t>
  </si>
  <si>
    <t>Danny Torres</t>
  </si>
  <si>
    <t>Oscar Velazquez</t>
  </si>
  <si>
    <t>James Gagnon</t>
  </si>
  <si>
    <t>Kristina Hoefs</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</si>
  <si>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</si>
  <si>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</si>
  <si>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</si>
  <si>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</si>
  <si>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</si>
  <si>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</si>
  <si>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</si>
  <si>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</si>
  <si>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</si>
  <si>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</si>
  <si>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</si>
  <si>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</si>
  <si>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</si>
  <si>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</si>
  <si>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</si>
  <si>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</si>
  <si>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</si>
  <si>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</si>
  <si>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r>
      <rPr>
        <b/>
        <sz val="11"/>
        <color theme="1"/>
        <rFont val="Calibri"/>
        <family val="2"/>
        <scheme val="minor"/>
      </rPr>
      <t>FLEX Routes:</t>
    </r>
    <r>
      <rPr>
        <sz val="11"/>
        <color theme="1"/>
        <rFont val="Calibri"/>
        <family val="2"/>
        <scheme val="minor"/>
      </rPr>
      <t xml:space="preserve"> </t>
    </r>
  </si>
  <si>
    <t>&lt;RTS Link</t>
  </si>
  <si>
    <t>&lt;PNOV Link</t>
  </si>
  <si>
    <t>&lt;OODT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</si>
</sst>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0">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xf numFmtId="0" fontId="4" fillId="0" borderId="10" xfId="4" applyBorder="1" applyAlignment="1">
      <alignment horizontal="center"/>
    </xf>
    <xf numFmtId="0" fontId="0" fillId="0" borderId="11" xfId="0" applyBorder="1" applyAlignment="1">
      <alignment horizontal="center"/>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share.amazon.com/sites/dbo6/_layouts/15/WopiFrame.aspx?sourcedoc=%7bF31EE52D-C487-4BBC-8F08-3707477D2DEA%7d&amp;file=DSP_RTS_Email_v3.xlsm&amp;action=default"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S18" sqref="S18"/>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61" t="s">
        <v>57</v>
      </c>
      <c r="C2" s="162"/>
      <c r="D2" s="162"/>
      <c r="E2" s="162"/>
      <c r="F2" s="162"/>
      <c r="G2" s="162"/>
      <c r="H2" s="162"/>
      <c r="I2" s="162"/>
      <c r="J2" s="162"/>
      <c r="K2" s="162"/>
      <c r="L2" s="162"/>
      <c r="M2" s="162"/>
      <c r="N2" s="162"/>
      <c r="O2" s="162"/>
      <c r="P2" s="162"/>
      <c r="Q2" s="162"/>
    </row>
    <row r="3" spans="2:19">
      <c r="B3" s="1"/>
      <c r="C3" s="2"/>
      <c r="D3" s="3"/>
      <c r="E3" s="4"/>
      <c r="F3" s="4"/>
      <c r="G3" s="4"/>
      <c r="H3" s="4"/>
      <c r="I3" s="4"/>
      <c r="J3" s="4"/>
      <c r="K3" s="5"/>
      <c r="L3" s="5"/>
      <c r="M3" s="4"/>
      <c r="N3" s="5"/>
      <c r="O3" s="5"/>
      <c r="P3" s="5"/>
      <c r="Q3" s="6"/>
    </row>
    <row r="4" spans="2:19" s="9" customFormat="1">
      <c r="B4" s="7"/>
      <c r="C4" s="8" t="s">
        <v>1</v>
      </c>
      <c r="D4" s="8" t="str">
        <f ca="1">TEXT(E4,"dddd")</f>
        <v>Wednesday</v>
      </c>
      <c r="E4" s="160">
        <f ca="1">TODAY()</f>
        <v>45168</v>
      </c>
      <c r="F4" s="160"/>
      <c r="H4" s="10"/>
      <c r="I4" s="10"/>
      <c r="J4" s="10"/>
      <c r="M4" s="11" t="s">
        <v>2</v>
      </c>
      <c r="N4" s="12">
        <v>0.97916666666666663</v>
      </c>
      <c r="Q4" s="14"/>
    </row>
    <row r="5" spans="2:19">
      <c r="B5" s="15"/>
      <c r="Q5" s="17"/>
      <c r="S5" t="s">
        <v>70</v>
      </c>
    </row>
    <row r="6" spans="2:19" s="9" customFormat="1">
      <c r="B6" s="7"/>
      <c r="C6" s="8" t="s">
        <v>9</v>
      </c>
      <c r="D6" s="18" t="s">
        <v>10</v>
      </c>
      <c r="E6" s="163" t="s">
        <v>11</v>
      </c>
      <c r="F6" s="163"/>
      <c r="G6" s="8" t="s">
        <v>12</v>
      </c>
      <c r="H6" s="8" t="s">
        <v>13</v>
      </c>
      <c r="I6" s="141" t="s">
        <v>14</v>
      </c>
      <c r="J6" s="142"/>
      <c r="K6" s="142"/>
      <c r="L6" s="142"/>
      <c r="M6" s="142"/>
      <c r="N6" s="142"/>
      <c r="O6" s="143"/>
      <c r="Q6" s="14"/>
      <c r="S6" s="9">
        <v>26580</v>
      </c>
    </row>
    <row r="7" spans="2:19">
      <c r="B7" s="15"/>
      <c r="C7" s="144" t="s">
        <v>15</v>
      </c>
      <c r="D7" s="21" t="s">
        <v>16</v>
      </c>
      <c r="E7" s="164">
        <v>1</v>
      </c>
      <c r="F7" s="164"/>
      <c r="G7" s="22">
        <v>0.95</v>
      </c>
      <c r="H7" s="22">
        <f>IF(E7="","",E7-G7)</f>
        <v>5.0000000000000044E-2</v>
      </c>
      <c r="I7" s="145"/>
      <c r="J7" s="146"/>
      <c r="K7" s="146"/>
      <c r="L7" s="146"/>
      <c r="M7" s="146"/>
      <c r="N7" s="146"/>
      <c r="O7" s="147"/>
      <c r="Q7" s="17"/>
    </row>
    <row r="8" spans="2:19" s="46" customFormat="1" ht="15.45" customHeight="1">
      <c r="B8" s="55"/>
      <c r="C8" s="144"/>
      <c r="D8" s="56" t="s">
        <v>17</v>
      </c>
      <c r="E8" s="165">
        <v>1</v>
      </c>
      <c r="F8" s="165"/>
      <c r="G8" s="57">
        <v>0.95</v>
      </c>
      <c r="H8" s="57">
        <f>IF(E8="","",E8-G8)</f>
        <v>5.0000000000000044E-2</v>
      </c>
      <c r="I8" s="166" t="s">
        <v>99</v>
      </c>
      <c r="J8" s="167"/>
      <c r="K8" s="167"/>
      <c r="L8" s="167"/>
      <c r="M8" s="167"/>
      <c r="N8" s="167"/>
      <c r="O8" s="168"/>
      <c r="Q8" s="45"/>
    </row>
    <row r="9" spans="2:19">
      <c r="B9" s="15"/>
      <c r="G9" s="23"/>
      <c r="H9" s="23"/>
      <c r="I9" s="24"/>
      <c r="J9" s="24"/>
      <c r="K9" s="25"/>
      <c r="L9" s="25"/>
      <c r="N9" s="25"/>
      <c r="O9" s="25"/>
      <c r="Q9" s="17"/>
    </row>
    <row r="10" spans="2:19" s="9" customFormat="1" ht="15" thickBot="1">
      <c r="B10" s="7"/>
      <c r="C10" s="8" t="s">
        <v>9</v>
      </c>
      <c r="D10" s="18" t="s">
        <v>10</v>
      </c>
      <c r="E10" s="8" t="s">
        <v>18</v>
      </c>
      <c r="F10" s="8" t="s">
        <v>19</v>
      </c>
      <c r="G10" s="8" t="s">
        <v>12</v>
      </c>
      <c r="H10" s="8" t="s">
        <v>13</v>
      </c>
      <c r="I10" s="141" t="s">
        <v>14</v>
      </c>
      <c r="J10" s="142"/>
      <c r="K10" s="142"/>
      <c r="L10" s="142"/>
      <c r="M10" s="142"/>
      <c r="N10" s="142"/>
      <c r="O10" s="143"/>
      <c r="Q10" s="14"/>
    </row>
    <row r="11" spans="2:19" s="46" customFormat="1" ht="13.95" customHeight="1">
      <c r="B11" s="55"/>
      <c r="C11" s="144" t="s">
        <v>0</v>
      </c>
      <c r="D11" s="77" t="s">
        <v>20</v>
      </c>
      <c r="E11" s="69">
        <v>93</v>
      </c>
      <c r="F11" s="69">
        <f>(E11/S6)*1000000</f>
        <v>3498.8713318284426</v>
      </c>
      <c r="G11" s="44">
        <v>5000</v>
      </c>
      <c r="H11" s="70">
        <f>IF(F11="","",F11-G11)</f>
        <v>-1501.1286681715574</v>
      </c>
      <c r="I11" s="173" t="str">
        <f>IF(ISBLANK(R11), "", HYPERLINK(R11, "Perfect Mile RTS DPMO Bridge"))</f>
        <v/>
      </c>
      <c r="J11" s="174"/>
      <c r="K11" s="174"/>
      <c r="L11" s="174"/>
      <c r="M11" s="174"/>
      <c r="N11" s="174"/>
      <c r="O11" s="139"/>
      <c r="Q11" s="175"/>
      <c r="R11" s="177"/>
      <c r="S11" s="46" t="s">
        <v>100</v>
      </c>
    </row>
    <row r="12" spans="2:19" ht="13.95" customHeight="1">
      <c r="B12" s="15"/>
      <c r="C12" s="144"/>
      <c r="D12" s="78" t="s">
        <v>21</v>
      </c>
      <c r="E12" s="27">
        <v>24</v>
      </c>
      <c r="F12" s="69">
        <f>(E12/S6)*1000000</f>
        <v>902.93453724604956</v>
      </c>
      <c r="G12" s="20">
        <v>1000</v>
      </c>
      <c r="H12" s="28">
        <f>IF(F12="","",F12-G12)</f>
        <v>-97.065462753950442</v>
      </c>
      <c r="I12" s="173" t="str">
        <f>IF(ISBLANK(R12), "", HYPERLINK(R12, "Perfect Mile OODT DPMO Bridge"))</f>
        <v/>
      </c>
      <c r="J12" s="174"/>
      <c r="K12" s="174"/>
      <c r="L12" s="174"/>
      <c r="M12" s="174"/>
      <c r="N12" s="174"/>
      <c r="O12" s="139"/>
      <c r="Q12" s="176"/>
      <c r="R12" s="178"/>
      <c r="S12" t="s">
        <v>102</v>
      </c>
    </row>
    <row r="13" spans="2:19" ht="13.95" customHeight="1" thickBot="1">
      <c r="B13" s="15"/>
      <c r="C13" s="144"/>
      <c r="D13" s="78" t="s">
        <v>22</v>
      </c>
      <c r="E13" s="27">
        <v>4</v>
      </c>
      <c r="F13" s="69">
        <f>(E13/S6)*1000000</f>
        <v>150.48908954100827</v>
      </c>
      <c r="G13" s="20">
        <v>0</v>
      </c>
      <c r="H13" s="28">
        <f>IF(F13="","",F13-G13)</f>
        <v>150.48908954100827</v>
      </c>
      <c r="I13" s="173" t="str">
        <f>IF(ISBLANK(R13), "", HYPERLINK(R13, "Perfect Mile PNOV DPMO Bridge"))</f>
        <v/>
      </c>
      <c r="J13" s="174"/>
      <c r="K13" s="174"/>
      <c r="L13" s="174"/>
      <c r="M13" s="174"/>
      <c r="N13" s="174"/>
      <c r="O13" s="139"/>
      <c r="Q13" s="176"/>
      <c r="R13" s="179"/>
      <c r="S13" t="s">
        <v>101</v>
      </c>
    </row>
    <row r="14" spans="2:19">
      <c r="B14" s="15"/>
      <c r="C14" s="144"/>
      <c r="D14" s="148" t="s">
        <v>23</v>
      </c>
      <c r="E14" s="149"/>
      <c r="F14" s="149"/>
      <c r="G14" s="149"/>
      <c r="H14" s="150"/>
      <c r="I14" s="29"/>
      <c r="J14" s="29" t="s">
        <v>24</v>
      </c>
      <c r="K14" s="29" t="s">
        <v>25</v>
      </c>
      <c r="L14" s="29" t="s">
        <v>26</v>
      </c>
      <c r="M14" s="154"/>
      <c r="N14" s="155"/>
      <c r="O14" s="156"/>
      <c r="Q14" s="17"/>
    </row>
    <row r="15" spans="2:19">
      <c r="B15" s="15"/>
      <c r="C15" s="144"/>
      <c r="D15" s="151"/>
      <c r="E15" s="152"/>
      <c r="F15" s="152"/>
      <c r="G15" s="152"/>
      <c r="H15" s="153"/>
      <c r="I15" s="58">
        <v>0</v>
      </c>
      <c r="J15" s="40">
        <v>0</v>
      </c>
      <c r="K15" s="40">
        <v>0</v>
      </c>
      <c r="L15" s="30">
        <f>SUM(I15:K15)</f>
        <v>0</v>
      </c>
      <c r="M15" s="157"/>
      <c r="N15" s="158"/>
      <c r="O15" s="159"/>
      <c r="Q15" s="17"/>
    </row>
    <row r="16" spans="2:19">
      <c r="B16" s="15"/>
      <c r="Q16" s="17"/>
    </row>
    <row r="17" spans="2:17">
      <c r="B17" s="15"/>
      <c r="C17" s="123" t="s">
        <v>27</v>
      </c>
      <c r="D17" s="123"/>
      <c r="E17" s="123"/>
      <c r="F17" s="123"/>
      <c r="G17" s="123"/>
      <c r="H17" s="123"/>
      <c r="I17" s="31"/>
      <c r="J17" s="31"/>
      <c r="K17" s="123" t="s">
        <v>28</v>
      </c>
      <c r="L17" s="123"/>
      <c r="M17" s="123"/>
      <c r="N17" s="123"/>
      <c r="O17" s="123"/>
      <c r="Q17" s="17"/>
    </row>
    <row r="18" spans="2:17">
      <c r="B18" s="15"/>
      <c r="C18" s="124" t="s">
        <v>55</v>
      </c>
      <c r="D18" s="125"/>
      <c r="E18" s="125"/>
      <c r="F18" s="125"/>
      <c r="G18" s="125"/>
      <c r="H18" s="125"/>
      <c r="I18" s="126"/>
      <c r="J18" s="13"/>
      <c r="Q18" s="17"/>
    </row>
    <row r="19" spans="2:17">
      <c r="B19" s="15"/>
      <c r="C19" s="127"/>
      <c r="D19" s="128"/>
      <c r="E19" s="128"/>
      <c r="F19" s="128"/>
      <c r="G19" s="128"/>
      <c r="H19" s="128"/>
      <c r="I19" s="129"/>
      <c r="J19" s="13"/>
      <c r="K19" s="123" t="s">
        <v>29</v>
      </c>
      <c r="L19" s="123"/>
      <c r="M19" s="123"/>
      <c r="N19" s="123"/>
      <c r="O19" s="133"/>
      <c r="Q19" s="17"/>
    </row>
    <row r="20" spans="2:17">
      <c r="B20" s="15"/>
      <c r="C20" s="127"/>
      <c r="D20" s="128"/>
      <c r="E20" s="128"/>
      <c r="F20" s="128"/>
      <c r="G20" s="128"/>
      <c r="H20" s="128"/>
      <c r="I20" s="129"/>
      <c r="J20" s="13"/>
      <c r="K20" s="134" t="s">
        <v>30</v>
      </c>
      <c r="L20" s="134"/>
      <c r="M20" s="16" t="s">
        <v>53</v>
      </c>
      <c r="N20" s="20">
        <v>0</v>
      </c>
      <c r="O20" s="33" t="s">
        <v>41</v>
      </c>
      <c r="Q20" s="17"/>
    </row>
    <row r="21" spans="2:17">
      <c r="B21" s="15"/>
      <c r="C21" s="127"/>
      <c r="D21" s="128"/>
      <c r="E21" s="128"/>
      <c r="F21" s="128"/>
      <c r="G21" s="128"/>
      <c r="H21" s="128"/>
      <c r="I21" s="129"/>
      <c r="J21" s="13"/>
      <c r="K21" s="134" t="s">
        <v>31</v>
      </c>
      <c r="L21" s="134"/>
      <c r="M21" s="16" t="s">
        <v>53</v>
      </c>
      <c r="N21" s="20">
        <v>0</v>
      </c>
      <c r="O21" s="33" t="s">
        <v>41</v>
      </c>
      <c r="Q21" s="17"/>
    </row>
    <row r="22" spans="2:17">
      <c r="B22" s="15"/>
      <c r="C22" s="127"/>
      <c r="D22" s="128"/>
      <c r="E22" s="128"/>
      <c r="F22" s="128"/>
      <c r="G22" s="128"/>
      <c r="H22" s="128"/>
      <c r="I22" s="129"/>
      <c r="J22" s="13"/>
      <c r="K22" s="134" t="s">
        <v>32</v>
      </c>
      <c r="L22" s="134"/>
      <c r="M22" s="16" t="s">
        <v>53</v>
      </c>
      <c r="N22" s="20">
        <v>0</v>
      </c>
      <c r="O22" s="33" t="s">
        <v>41</v>
      </c>
      <c r="Q22" s="17"/>
    </row>
    <row r="23" spans="2:17">
      <c r="B23" s="15"/>
      <c r="C23" s="127"/>
      <c r="D23" s="128"/>
      <c r="E23" s="128"/>
      <c r="F23" s="128"/>
      <c r="G23" s="128"/>
      <c r="H23" s="128"/>
      <c r="I23" s="129"/>
      <c r="J23" s="13"/>
      <c r="K23" s="134" t="s">
        <v>33</v>
      </c>
      <c r="L23" s="134"/>
      <c r="M23" s="16" t="s">
        <v>53</v>
      </c>
      <c r="N23" s="20">
        <v>0</v>
      </c>
      <c r="O23" s="33" t="s">
        <v>41</v>
      </c>
      <c r="Q23" s="17"/>
    </row>
    <row r="24" spans="2:17">
      <c r="B24" s="15"/>
      <c r="C24" s="127"/>
      <c r="D24" s="128"/>
      <c r="E24" s="128"/>
      <c r="F24" s="128"/>
      <c r="G24" s="128"/>
      <c r="H24" s="128"/>
      <c r="I24" s="129"/>
      <c r="J24" s="13"/>
      <c r="K24" s="134" t="s">
        <v>35</v>
      </c>
      <c r="L24" s="134"/>
      <c r="M24" s="16" t="s">
        <v>53</v>
      </c>
      <c r="N24" s="20">
        <v>0</v>
      </c>
      <c r="O24" s="33" t="s">
        <v>41</v>
      </c>
      <c r="Q24" s="17"/>
    </row>
    <row r="25" spans="2:17">
      <c r="B25" s="15"/>
      <c r="C25" s="127"/>
      <c r="D25" s="128"/>
      <c r="E25" s="128"/>
      <c r="F25" s="128"/>
      <c r="G25" s="128"/>
      <c r="H25" s="128"/>
      <c r="I25" s="129"/>
      <c r="J25" s="13"/>
      <c r="K25" s="134" t="s">
        <v>39</v>
      </c>
      <c r="L25" s="134"/>
      <c r="M25" s="16" t="s">
        <v>53</v>
      </c>
      <c r="N25" s="20">
        <v>0</v>
      </c>
      <c r="O25" s="33" t="s">
        <v>41</v>
      </c>
      <c r="Q25" s="17"/>
    </row>
    <row r="26" spans="2:17">
      <c r="B26" s="15"/>
      <c r="C26" s="127"/>
      <c r="D26" s="128"/>
      <c r="E26" s="128"/>
      <c r="F26" s="128"/>
      <c r="G26" s="128"/>
      <c r="H26" s="128"/>
      <c r="I26" s="129"/>
      <c r="J26" s="13"/>
      <c r="K26" s="114" t="s">
        <v>56</v>
      </c>
      <c r="L26" s="114"/>
      <c r="M26" s="114"/>
      <c r="N26" s="114"/>
      <c r="O26" s="114"/>
      <c r="Q26" s="17"/>
    </row>
    <row r="27" spans="2:17">
      <c r="B27" s="15"/>
      <c r="C27" s="127"/>
      <c r="D27" s="128"/>
      <c r="E27" s="128"/>
      <c r="F27" s="128"/>
      <c r="G27" s="128"/>
      <c r="H27" s="128"/>
      <c r="I27" s="129"/>
      <c r="J27" s="13"/>
      <c r="Q27" s="17"/>
    </row>
    <row r="28" spans="2:17">
      <c r="B28" s="15"/>
      <c r="C28" s="127"/>
      <c r="D28" s="128"/>
      <c r="E28" s="128"/>
      <c r="F28" s="128"/>
      <c r="G28" s="128"/>
      <c r="H28" s="128"/>
      <c r="I28" s="129"/>
      <c r="J28" s="13"/>
      <c r="N28" s="135" t="str">
        <f>IF(M29="Yes","Please drop SIMs below.","")</f>
        <v/>
      </c>
      <c r="O28" s="135"/>
      <c r="Q28" s="17"/>
    </row>
    <row r="29" spans="2:17">
      <c r="B29" s="15"/>
      <c r="C29" s="127"/>
      <c r="D29" s="128"/>
      <c r="E29" s="128"/>
      <c r="F29" s="128"/>
      <c r="G29" s="128"/>
      <c r="H29" s="128"/>
      <c r="I29" s="129"/>
      <c r="J29" s="13"/>
      <c r="K29" s="140" t="s">
        <v>40</v>
      </c>
      <c r="L29" s="140"/>
      <c r="M29" s="16" t="s">
        <v>58</v>
      </c>
      <c r="N29" s="115">
        <v>0</v>
      </c>
      <c r="O29" s="116"/>
      <c r="Q29" s="17"/>
    </row>
    <row r="30" spans="2:17">
      <c r="B30" s="15"/>
      <c r="C30" s="127"/>
      <c r="D30" s="128"/>
      <c r="E30" s="128"/>
      <c r="F30" s="128"/>
      <c r="G30" s="128"/>
      <c r="H30" s="128"/>
      <c r="I30" s="129"/>
      <c r="J30" s="13"/>
      <c r="K30" s="117" t="str">
        <f>IF(M29="Yes","Qty?","")</f>
        <v/>
      </c>
      <c r="L30" s="117"/>
      <c r="N30" s="118"/>
      <c r="O30" s="119"/>
      <c r="Q30" s="17"/>
    </row>
    <row r="31" spans="2:17">
      <c r="B31" s="15"/>
      <c r="C31" s="127"/>
      <c r="D31" s="128"/>
      <c r="E31" s="128"/>
      <c r="F31" s="128"/>
      <c r="G31" s="128"/>
      <c r="H31" s="128"/>
      <c r="I31" s="129"/>
      <c r="J31" s="13"/>
      <c r="K31" s="120" t="str">
        <f>IF(M29="No","Did we RTFC any liquid items?","")</f>
        <v/>
      </c>
      <c r="L31" s="120"/>
      <c r="N31" s="121"/>
      <c r="O31" s="122"/>
      <c r="Q31" s="17"/>
    </row>
    <row r="32" spans="2:17">
      <c r="B32" s="15"/>
      <c r="C32" s="127"/>
      <c r="D32" s="128"/>
      <c r="E32" s="128"/>
      <c r="F32" s="128"/>
      <c r="G32" s="128"/>
      <c r="H32" s="128"/>
      <c r="I32" s="129"/>
      <c r="J32" s="13"/>
      <c r="K32" s="136" t="str">
        <f>IF(M31="Yes","Please submit liquid Damage SIM.","")</f>
        <v/>
      </c>
      <c r="L32" s="136"/>
      <c r="M32" s="137"/>
      <c r="N32" s="138"/>
      <c r="O32" s="139"/>
      <c r="Q32" s="17"/>
    </row>
    <row r="33" spans="2:17">
      <c r="B33" s="15"/>
      <c r="C33" s="127"/>
      <c r="D33" s="128"/>
      <c r="E33" s="128"/>
      <c r="F33" s="128"/>
      <c r="G33" s="128"/>
      <c r="H33" s="128"/>
      <c r="I33" s="129"/>
      <c r="J33" s="13"/>
      <c r="N33" s="138"/>
      <c r="O33" s="139"/>
      <c r="Q33" s="17"/>
    </row>
    <row r="34" spans="2:17">
      <c r="B34" s="15"/>
      <c r="C34" s="127"/>
      <c r="D34" s="128"/>
      <c r="E34" s="128"/>
      <c r="F34" s="128"/>
      <c r="G34" s="128"/>
      <c r="H34" s="128"/>
      <c r="I34" s="129"/>
      <c r="J34" s="13"/>
      <c r="N34" s="138"/>
      <c r="O34" s="139"/>
      <c r="Q34" s="17"/>
    </row>
    <row r="35" spans="2:17">
      <c r="B35" s="15"/>
      <c r="C35" s="127"/>
      <c r="D35" s="128"/>
      <c r="E35" s="128"/>
      <c r="F35" s="128"/>
      <c r="G35" s="128"/>
      <c r="H35" s="128"/>
      <c r="I35" s="129"/>
      <c r="J35" s="13"/>
      <c r="Q35" s="17"/>
    </row>
    <row r="36" spans="2:17">
      <c r="B36" s="15"/>
      <c r="C36" s="127"/>
      <c r="D36" s="128"/>
      <c r="E36" s="128"/>
      <c r="F36" s="128"/>
      <c r="G36" s="128"/>
      <c r="H36" s="128"/>
      <c r="I36" s="129"/>
      <c r="J36" s="13"/>
      <c r="M36"/>
      <c r="Q36" s="17"/>
    </row>
    <row r="37" spans="2:17">
      <c r="B37" s="15"/>
      <c r="C37" s="127"/>
      <c r="D37" s="128"/>
      <c r="E37" s="128"/>
      <c r="F37" s="128"/>
      <c r="G37" s="128"/>
      <c r="H37" s="128"/>
      <c r="I37" s="129"/>
      <c r="J37" s="13"/>
      <c r="M37"/>
      <c r="Q37" s="17"/>
    </row>
    <row r="38" spans="2:17">
      <c r="B38" s="15"/>
      <c r="C38" s="127"/>
      <c r="D38" s="128"/>
      <c r="E38" s="128"/>
      <c r="F38" s="128"/>
      <c r="G38" s="128"/>
      <c r="H38" s="128"/>
      <c r="I38" s="129"/>
      <c r="J38" s="13"/>
      <c r="M38"/>
      <c r="Q38" s="17"/>
    </row>
    <row r="39" spans="2:17">
      <c r="B39" s="15"/>
      <c r="C39" s="127"/>
      <c r="D39" s="128"/>
      <c r="E39" s="128"/>
      <c r="F39" s="128"/>
      <c r="G39" s="128"/>
      <c r="H39" s="128"/>
      <c r="I39" s="129"/>
      <c r="J39" s="13"/>
      <c r="M39"/>
      <c r="Q39" s="17"/>
    </row>
    <row r="40" spans="2:17">
      <c r="B40" s="15"/>
      <c r="C40" s="127"/>
      <c r="D40" s="128"/>
      <c r="E40" s="128"/>
      <c r="F40" s="128"/>
      <c r="G40" s="128"/>
      <c r="H40" s="128"/>
      <c r="I40" s="129"/>
      <c r="J40" s="13"/>
      <c r="M40"/>
      <c r="Q40" s="17"/>
    </row>
    <row r="41" spans="2:17">
      <c r="B41" s="15"/>
      <c r="C41" s="127"/>
      <c r="D41" s="128"/>
      <c r="E41" s="128"/>
      <c r="F41" s="128"/>
      <c r="G41" s="128"/>
      <c r="H41" s="128"/>
      <c r="I41" s="129"/>
      <c r="J41" s="13"/>
      <c r="M41"/>
      <c r="Q41" s="17"/>
    </row>
    <row r="42" spans="2:17">
      <c r="B42" s="15"/>
      <c r="C42" s="127"/>
      <c r="D42" s="128"/>
      <c r="E42" s="128"/>
      <c r="F42" s="128"/>
      <c r="G42" s="128"/>
      <c r="H42" s="128"/>
      <c r="I42" s="129"/>
      <c r="J42" s="13"/>
      <c r="M42"/>
      <c r="Q42" s="17"/>
    </row>
    <row r="43" spans="2:17">
      <c r="B43" s="15"/>
      <c r="C43" s="127"/>
      <c r="D43" s="128"/>
      <c r="E43" s="128"/>
      <c r="F43" s="128"/>
      <c r="G43" s="128"/>
      <c r="H43" s="128"/>
      <c r="I43" s="129"/>
      <c r="J43" s="13"/>
      <c r="M43"/>
      <c r="Q43" s="17"/>
    </row>
    <row r="44" spans="2:17">
      <c r="B44" s="15"/>
      <c r="C44" s="127"/>
      <c r="D44" s="128"/>
      <c r="E44" s="128"/>
      <c r="F44" s="128"/>
      <c r="G44" s="128"/>
      <c r="H44" s="128"/>
      <c r="I44" s="129"/>
      <c r="J44" s="13"/>
      <c r="M44"/>
      <c r="Q44" s="17"/>
    </row>
    <row r="45" spans="2:17">
      <c r="B45" s="15"/>
      <c r="C45" s="127"/>
      <c r="D45" s="128"/>
      <c r="E45" s="128"/>
      <c r="F45" s="128"/>
      <c r="G45" s="128"/>
      <c r="H45" s="128"/>
      <c r="I45" s="129"/>
      <c r="J45" s="13"/>
      <c r="M45"/>
      <c r="Q45" s="17"/>
    </row>
    <row r="46" spans="2:17">
      <c r="B46" s="15"/>
      <c r="C46" s="127"/>
      <c r="D46" s="128"/>
      <c r="E46" s="128"/>
      <c r="F46" s="128"/>
      <c r="G46" s="128"/>
      <c r="H46" s="128"/>
      <c r="I46" s="129"/>
      <c r="J46" s="13"/>
      <c r="M46"/>
      <c r="Q46" s="17"/>
    </row>
    <row r="47" spans="2:17">
      <c r="B47" s="15"/>
      <c r="C47" s="127"/>
      <c r="D47" s="128"/>
      <c r="E47" s="128"/>
      <c r="F47" s="128"/>
      <c r="G47" s="128"/>
      <c r="H47" s="128"/>
      <c r="I47" s="129"/>
      <c r="J47" s="13"/>
      <c r="M47"/>
      <c r="Q47" s="17"/>
    </row>
    <row r="48" spans="2:17">
      <c r="B48" s="15"/>
      <c r="C48" s="127"/>
      <c r="D48" s="128"/>
      <c r="E48" s="128"/>
      <c r="F48" s="128"/>
      <c r="G48" s="128"/>
      <c r="H48" s="128"/>
      <c r="I48" s="129"/>
      <c r="J48" s="13"/>
      <c r="M48"/>
      <c r="Q48" s="17"/>
    </row>
    <row r="49" spans="2:17">
      <c r="B49" s="15"/>
      <c r="C49" s="130"/>
      <c r="D49" s="131"/>
      <c r="E49" s="131"/>
      <c r="F49" s="131"/>
      <c r="G49" s="131"/>
      <c r="H49" s="131"/>
      <c r="I49" s="132"/>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E4:F4"/>
    <mergeCell ref="B2:Q2"/>
    <mergeCell ref="E6:F6"/>
    <mergeCell ref="I6:O6"/>
    <mergeCell ref="C7:C8"/>
    <mergeCell ref="E7:F7"/>
    <mergeCell ref="I7:O7"/>
    <mergeCell ref="E8:F8"/>
    <mergeCell ref="I8:O8"/>
    <mergeCell ref="I10:O10"/>
    <mergeCell ref="C11:C15"/>
    <mergeCell ref="I11:O11"/>
    <mergeCell ref="I12:O12"/>
    <mergeCell ref="I13:O13"/>
    <mergeCell ref="D14:H15"/>
    <mergeCell ref="M14:O15"/>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61" t="s">
        <v>48</v>
      </c>
      <c r="B1" s="162"/>
      <c r="C1" s="162"/>
      <c r="D1" s="162"/>
      <c r="E1" s="162"/>
      <c r="F1" s="162"/>
      <c r="G1" s="162"/>
      <c r="H1" s="162"/>
      <c r="I1" s="162"/>
      <c r="J1" s="162"/>
      <c r="K1" s="162"/>
      <c r="L1" s="162"/>
      <c r="M1" s="162"/>
      <c r="N1" s="162"/>
      <c r="O1" s="162"/>
      <c r="P1" s="162"/>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49" t="s">
        <v>3</v>
      </c>
      <c r="B4" s="149"/>
      <c r="C4" s="32"/>
      <c r="D4" s="144" t="s">
        <v>4</v>
      </c>
      <c r="E4" s="144"/>
      <c r="F4" s="10"/>
      <c r="G4" s="169" t="s">
        <v>5</v>
      </c>
      <c r="H4" s="170"/>
      <c r="I4" s="170"/>
      <c r="J4" s="170"/>
      <c r="K4" s="170"/>
      <c r="L4" s="170"/>
      <c r="M4" s="170"/>
      <c r="N4" s="171"/>
      <c r="O4" s="14"/>
    </row>
    <row r="5" spans="1:16">
      <c r="A5" s="152"/>
      <c r="B5" s="152"/>
      <c r="C5" s="32"/>
      <c r="D5" s="144"/>
      <c r="E5" s="144"/>
      <c r="F5" s="10"/>
      <c r="G5" s="169" t="s">
        <v>6</v>
      </c>
      <c r="H5" s="171"/>
      <c r="I5" s="10"/>
      <c r="J5" s="169" t="s">
        <v>7</v>
      </c>
      <c r="K5" s="171"/>
      <c r="L5" s="10"/>
      <c r="M5" s="169" t="s">
        <v>8</v>
      </c>
      <c r="N5" s="171"/>
      <c r="O5" s="17"/>
    </row>
    <row r="6" spans="1:16" s="46" customFormat="1" ht="15.6">
      <c r="A6" s="79" t="s">
        <v>42</v>
      </c>
      <c r="B6" s="80">
        <v>37</v>
      </c>
      <c r="C6" s="19"/>
      <c r="D6" s="81" t="s">
        <v>61</v>
      </c>
      <c r="E6" s="82">
        <v>76</v>
      </c>
      <c r="F6" s="42"/>
      <c r="G6" s="86" t="s">
        <v>66</v>
      </c>
      <c r="H6" s="87">
        <v>30</v>
      </c>
      <c r="I6" s="42"/>
      <c r="J6" s="43" t="s">
        <v>66</v>
      </c>
      <c r="K6" s="43">
        <v>13</v>
      </c>
      <c r="L6" s="42"/>
      <c r="M6" s="90" t="s">
        <v>67</v>
      </c>
      <c r="N6" s="43">
        <v>14</v>
      </c>
      <c r="O6" s="47"/>
    </row>
    <row r="7" spans="1:16" s="46" customFormat="1" ht="16.5" customHeight="1">
      <c r="A7" s="79" t="s">
        <v>44</v>
      </c>
      <c r="B7" s="80">
        <v>35</v>
      </c>
      <c r="C7" s="19"/>
      <c r="D7" s="79" t="s">
        <v>73</v>
      </c>
      <c r="E7" s="80">
        <v>12</v>
      </c>
      <c r="F7" s="42"/>
      <c r="G7" s="86" t="s">
        <v>68</v>
      </c>
      <c r="H7" s="87">
        <v>22</v>
      </c>
      <c r="I7" s="42"/>
      <c r="J7" s="43" t="s">
        <v>68</v>
      </c>
      <c r="K7" s="43">
        <v>12</v>
      </c>
      <c r="L7" s="42"/>
      <c r="M7" s="43" t="s">
        <v>66</v>
      </c>
      <c r="N7" s="43">
        <v>10</v>
      </c>
      <c r="O7" s="45"/>
    </row>
    <row r="8" spans="1:16" s="46" customFormat="1" ht="25.95" customHeight="1">
      <c r="A8" s="79" t="s">
        <v>46</v>
      </c>
      <c r="B8" s="80">
        <v>6</v>
      </c>
      <c r="C8" s="19"/>
      <c r="D8" s="81" t="s">
        <v>74</v>
      </c>
      <c r="E8" s="82">
        <v>3</v>
      </c>
      <c r="F8" s="42"/>
      <c r="G8" s="86" t="s">
        <v>67</v>
      </c>
      <c r="H8" s="87">
        <v>16</v>
      </c>
      <c r="I8" s="42"/>
      <c r="J8" s="43" t="s">
        <v>65</v>
      </c>
      <c r="K8" s="43">
        <v>6</v>
      </c>
      <c r="L8" s="42"/>
      <c r="M8" s="43" t="s">
        <v>68</v>
      </c>
      <c r="N8" s="43">
        <v>7</v>
      </c>
      <c r="O8" s="45"/>
    </row>
    <row r="9" spans="1:16" s="42" customFormat="1" ht="15.6">
      <c r="A9" s="79" t="s">
        <v>54</v>
      </c>
      <c r="B9" s="80">
        <v>4</v>
      </c>
      <c r="C9" s="26"/>
      <c r="D9" s="79" t="s">
        <v>63</v>
      </c>
      <c r="E9" s="80">
        <v>3</v>
      </c>
      <c r="G9" s="86" t="s">
        <v>64</v>
      </c>
      <c r="H9" s="87">
        <v>11</v>
      </c>
      <c r="J9" s="43" t="s">
        <v>64</v>
      </c>
      <c r="K9" s="43">
        <v>3</v>
      </c>
      <c r="M9" s="43" t="s">
        <v>64</v>
      </c>
      <c r="N9" s="43">
        <v>4</v>
      </c>
      <c r="O9" s="66"/>
    </row>
    <row r="10" spans="1:16" s="46" customFormat="1">
      <c r="A10" s="79" t="s">
        <v>60</v>
      </c>
      <c r="B10" s="80">
        <v>4</v>
      </c>
      <c r="C10" s="42"/>
      <c r="D10" s="81" t="s">
        <v>62</v>
      </c>
      <c r="E10" s="82">
        <v>1</v>
      </c>
      <c r="F10" s="42"/>
      <c r="G10" s="86" t="s">
        <v>65</v>
      </c>
      <c r="H10" s="87">
        <v>10</v>
      </c>
      <c r="I10" s="42"/>
      <c r="J10" s="43"/>
      <c r="K10" s="43"/>
      <c r="L10" s="42"/>
      <c r="M10" s="43"/>
      <c r="N10" s="43"/>
      <c r="O10" s="47"/>
    </row>
    <row r="11" spans="1:16" s="46" customFormat="1" ht="27" customHeight="1">
      <c r="A11" s="79" t="s">
        <v>45</v>
      </c>
      <c r="B11" s="80">
        <v>4</v>
      </c>
      <c r="C11" s="42"/>
      <c r="D11" s="81"/>
      <c r="E11" s="82"/>
      <c r="F11" s="42"/>
      <c r="G11" s="86" t="s">
        <v>69</v>
      </c>
      <c r="H11" s="87">
        <v>6</v>
      </c>
      <c r="I11" s="42"/>
      <c r="J11" s="43"/>
      <c r="K11" s="43"/>
      <c r="L11" s="42"/>
      <c r="M11" s="43"/>
      <c r="N11" s="43"/>
      <c r="O11" s="45"/>
    </row>
    <row r="12" spans="1:16" s="46" customFormat="1" ht="35.549999999999997" customHeight="1">
      <c r="A12" s="79" t="s">
        <v>47</v>
      </c>
      <c r="B12" s="80">
        <v>2</v>
      </c>
      <c r="C12" s="42"/>
      <c r="D12" s="79"/>
      <c r="E12" s="80"/>
      <c r="F12" s="42"/>
      <c r="G12" s="88"/>
      <c r="H12" s="89"/>
      <c r="I12" s="42"/>
      <c r="J12" s="44"/>
      <c r="K12" s="44"/>
      <c r="L12" s="42"/>
      <c r="M12" s="44"/>
      <c r="N12" s="44"/>
      <c r="O12" s="45"/>
    </row>
    <row r="13" spans="1:16" s="46" customFormat="1" ht="30" customHeight="1">
      <c r="A13" s="79" t="s">
        <v>71</v>
      </c>
      <c r="B13" s="80">
        <v>1</v>
      </c>
      <c r="C13" s="42"/>
      <c r="D13" s="81"/>
      <c r="E13" s="82"/>
      <c r="F13" s="42"/>
      <c r="G13" s="44"/>
      <c r="H13" s="44"/>
      <c r="I13" s="42"/>
      <c r="J13" s="44"/>
      <c r="K13" s="44"/>
      <c r="L13" s="42"/>
      <c r="M13" s="44"/>
      <c r="N13" s="44"/>
      <c r="O13" s="45"/>
    </row>
    <row r="14" spans="1:16" s="46" customFormat="1">
      <c r="A14" s="79" t="s">
        <v>72</v>
      </c>
      <c r="B14" s="80">
        <v>1</v>
      </c>
      <c r="C14" s="42"/>
      <c r="D14" s="79"/>
      <c r="E14" s="80"/>
      <c r="F14" s="42"/>
      <c r="G14" s="44"/>
      <c r="H14" s="44"/>
      <c r="I14" s="42"/>
      <c r="J14" s="44"/>
      <c r="K14" s="44"/>
      <c r="L14" s="42"/>
      <c r="M14" s="44"/>
      <c r="N14" s="44"/>
      <c r="O14" s="45"/>
    </row>
    <row r="15" spans="1:16" s="46" customFormat="1">
      <c r="A15" s="79" t="s">
        <v>59</v>
      </c>
      <c r="B15" s="80">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69" t="s">
        <v>43</v>
      </c>
      <c r="B23" s="170"/>
      <c r="C23" s="170"/>
      <c r="D23" s="170"/>
      <c r="E23" s="171"/>
      <c r="F23" s="10"/>
      <c r="G23" s="169" t="s">
        <v>34</v>
      </c>
      <c r="H23" s="170"/>
      <c r="I23" s="170"/>
      <c r="J23" s="170"/>
      <c r="K23" s="170"/>
      <c r="L23" s="170"/>
      <c r="M23" s="170"/>
      <c r="N23" s="171"/>
      <c r="O23" s="17"/>
    </row>
    <row r="24" spans="1:15">
      <c r="A24" s="169" t="s">
        <v>36</v>
      </c>
      <c r="B24" s="171"/>
      <c r="C24" s="10"/>
      <c r="D24" s="169" t="s">
        <v>37</v>
      </c>
      <c r="E24" s="171"/>
      <c r="F24" s="10"/>
      <c r="G24" s="169" t="s">
        <v>38</v>
      </c>
      <c r="H24" s="171"/>
      <c r="I24" s="10"/>
      <c r="J24" s="169" t="s">
        <v>49</v>
      </c>
      <c r="K24" s="171"/>
      <c r="L24" s="10"/>
      <c r="M24" s="169" t="s">
        <v>52</v>
      </c>
      <c r="N24" s="171"/>
      <c r="O24" s="17"/>
    </row>
    <row r="25" spans="1:15" s="46" customFormat="1" ht="19.95" customHeight="1">
      <c r="A25" s="90" t="s">
        <v>75</v>
      </c>
      <c r="B25" s="72" t="s">
        <v>67</v>
      </c>
      <c r="C25" s="42"/>
      <c r="D25" s="90" t="s">
        <v>75</v>
      </c>
      <c r="E25" s="72" t="s">
        <v>67</v>
      </c>
      <c r="F25" s="42"/>
      <c r="G25" s="92" t="s">
        <v>77</v>
      </c>
      <c r="H25" s="72" t="s">
        <v>66</v>
      </c>
      <c r="I25" s="42"/>
      <c r="J25" s="76"/>
      <c r="K25" s="73"/>
      <c r="L25" s="42"/>
      <c r="M25" s="93" t="s">
        <v>80</v>
      </c>
      <c r="N25" s="72" t="s">
        <v>67</v>
      </c>
      <c r="O25" s="45"/>
    </row>
    <row r="26" spans="1:15">
      <c r="A26" s="60"/>
      <c r="B26" s="60"/>
      <c r="D26" s="91" t="s">
        <v>76</v>
      </c>
      <c r="E26" s="91" t="s">
        <v>66</v>
      </c>
      <c r="G26" s="61" t="s">
        <v>78</v>
      </c>
      <c r="H26" s="60" t="s">
        <v>64</v>
      </c>
      <c r="J26" s="62"/>
      <c r="K26" s="60"/>
      <c r="M26" s="62"/>
      <c r="N26" s="60"/>
      <c r="O26" s="17"/>
    </row>
    <row r="27" spans="1:15">
      <c r="A27" s="41"/>
      <c r="B27" s="41"/>
      <c r="C27" s="63"/>
      <c r="D27" s="60"/>
      <c r="E27" s="72"/>
      <c r="G27" s="62" t="s">
        <v>79</v>
      </c>
      <c r="H27" s="60" t="s">
        <v>65</v>
      </c>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hyperlinks>
    <hyperlink ref="A6" r:id="rId1" display="From RTS wash" xr:uid="{160085FC-3053-4632-BCCC-4067A2EBDF1C}"/>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B19" sqref="B19"/>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81</v>
      </c>
      <c r="B1" s="100" t="s">
        <v>82</v>
      </c>
      <c r="C1" s="108" t="s">
        <v>83</v>
      </c>
      <c r="D1" s="102"/>
      <c r="E1" s="103" t="s">
        <v>84</v>
      </c>
      <c r="F1" s="104"/>
    </row>
    <row r="2" spans="1:6">
      <c r="A2" s="101">
        <f>COUNTA(A11:A1009)</f>
        <v>0</v>
      </c>
      <c r="B2" s="101">
        <f>COUNTIF(B11:B1009, "Damaged Salvageable")</f>
        <v>0</v>
      </c>
      <c r="C2" s="109">
        <f>COUNTIF(C11:C1009, "DFC")</f>
        <v>0</v>
      </c>
      <c r="D2" s="102"/>
      <c r="E2" s="172"/>
      <c r="F2" s="104"/>
    </row>
    <row r="3" spans="1:6">
      <c r="A3" s="102"/>
      <c r="B3" s="100" t="s">
        <v>85</v>
      </c>
      <c r="C3" s="108" t="s">
        <v>86</v>
      </c>
      <c r="D3" s="102"/>
      <c r="E3" s="172"/>
      <c r="F3" s="104"/>
    </row>
    <row r="4" spans="1:6">
      <c r="A4" s="103" t="s">
        <v>87</v>
      </c>
      <c r="B4" s="101">
        <f>COUNTIF(B11:B1009, "Damaged unSalvageable")</f>
        <v>0</v>
      </c>
      <c r="C4" s="109">
        <f>COUNTIF(C11:C1009, "Hazmat")</f>
        <v>0</v>
      </c>
      <c r="D4" s="102"/>
      <c r="E4" s="172"/>
      <c r="F4" s="104"/>
    </row>
    <row r="5" spans="1:6">
      <c r="A5" s="102" t="s">
        <v>88</v>
      </c>
      <c r="B5" s="100" t="s">
        <v>89</v>
      </c>
      <c r="C5" s="108" t="s">
        <v>90</v>
      </c>
      <c r="D5" s="102"/>
      <c r="E5" s="172"/>
      <c r="F5" s="104"/>
    </row>
    <row r="6" spans="1:6">
      <c r="A6" s="102" t="s">
        <v>91</v>
      </c>
      <c r="B6" s="101">
        <f>COUNTA(B11:B1009)</f>
        <v>0</v>
      </c>
      <c r="C6" s="101">
        <f>COUNTIF(C11:C1009, "Donated")</f>
        <v>0</v>
      </c>
      <c r="D6" s="102"/>
      <c r="E6" s="172"/>
      <c r="F6" s="104"/>
    </row>
    <row r="7" spans="1:6">
      <c r="A7" s="104"/>
      <c r="B7" s="104"/>
      <c r="C7" s="108" t="s">
        <v>92</v>
      </c>
      <c r="D7" s="102"/>
      <c r="E7" s="172"/>
      <c r="F7" s="104"/>
    </row>
    <row r="8" spans="1:6">
      <c r="A8" s="104"/>
      <c r="B8" s="102"/>
      <c r="C8" s="110">
        <f>COUNTIF(C9:C1009, "repacked")</f>
        <v>0</v>
      </c>
      <c r="D8" s="102"/>
      <c r="E8" s="172"/>
      <c r="F8" s="104"/>
    </row>
    <row r="9" spans="1:6">
      <c r="A9" s="102"/>
      <c r="B9" s="102"/>
      <c r="C9" s="111"/>
      <c r="D9" s="102"/>
      <c r="E9" s="102"/>
      <c r="F9" s="104"/>
    </row>
    <row r="10" spans="1:6" ht="27.6" customHeight="1">
      <c r="A10" s="105" t="s">
        <v>93</v>
      </c>
      <c r="B10" s="105" t="s">
        <v>94</v>
      </c>
      <c r="C10" s="112" t="s">
        <v>95</v>
      </c>
      <c r="D10" s="105" t="s">
        <v>96</v>
      </c>
      <c r="E10" s="105" t="s">
        <v>97</v>
      </c>
      <c r="F10" s="112" t="s">
        <v>98</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50</v>
      </c>
    </row>
    <row r="7" spans="2:8" ht="60.6" thickBot="1">
      <c r="B7" s="65"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2023-08-30T23:22:34Z</dcterms:modified>
</cp:coreProperties>
</file>